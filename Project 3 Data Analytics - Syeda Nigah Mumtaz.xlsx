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0" yWindow="0" windowWidth="20520" windowHeight="10958" tabRatio="500" activeTab="3"/>
  </bookViews>
  <sheets>
    <sheet name="Summary" sheetId="1" r:id="rId1"/>
    <sheet name="Revenue by Product" sheetId="2" r:id="rId2"/>
    <sheet name="Order Status" sheetId="3" r:id="rId3"/>
    <sheet name="Payment Method" sheetId="4" r:id="rId4"/>
    <sheet name="Referral Source" sheetId="5" r:id="rId5"/>
    <sheet name="Coupon Impact" sheetId="6" r:id="rId6"/>
    <sheet name="Top 10 Orders" sheetId="7" r:id="rId7"/>
    <sheet name="Monthly Trend" sheetId="8" r:id="rId8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 l="1"/>
  <c r="C34" i="8"/>
  <c r="B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34" i="8" s="1"/>
  <c r="D8" i="6"/>
  <c r="C8" i="6"/>
  <c r="B8" i="6"/>
  <c r="E7" i="6"/>
  <c r="E6" i="6"/>
  <c r="E5" i="6"/>
  <c r="E4" i="6"/>
  <c r="E8" i="6" s="1"/>
  <c r="D9" i="5"/>
  <c r="C9" i="5"/>
  <c r="B9" i="5"/>
  <c r="E8" i="5"/>
  <c r="E7" i="5"/>
  <c r="E6" i="5"/>
  <c r="E5" i="5"/>
  <c r="E4" i="5"/>
  <c r="E9" i="5" s="1"/>
  <c r="C9" i="4"/>
  <c r="B9" i="4"/>
  <c r="D8" i="4"/>
  <c r="D7" i="4"/>
  <c r="D6" i="4"/>
  <c r="D5" i="4"/>
  <c r="D9" i="4" s="1"/>
  <c r="D4" i="4"/>
  <c r="C9" i="3"/>
  <c r="B9" i="3"/>
  <c r="D11" i="2"/>
  <c r="B6" i="1" s="1"/>
  <c r="C11" i="2"/>
  <c r="B11" i="2"/>
  <c r="E10" i="2"/>
  <c r="E9" i="2"/>
  <c r="E8" i="2"/>
  <c r="E7" i="2"/>
  <c r="E6" i="2"/>
  <c r="E5" i="2"/>
  <c r="E4" i="2"/>
  <c r="D19" i="1"/>
  <c r="C19" i="1"/>
  <c r="B19" i="1"/>
  <c r="E18" i="1"/>
  <c r="E17" i="1"/>
  <c r="E16" i="1"/>
  <c r="E15" i="1"/>
  <c r="E14" i="1"/>
  <c r="E13" i="1"/>
  <c r="E12" i="1"/>
  <c r="E19" i="1" s="1"/>
  <c r="B8" i="1"/>
  <c r="B7" i="1"/>
  <c r="B5" i="1"/>
</calcChain>
</file>

<file path=xl/sharedStrings.xml><?xml version="1.0" encoding="utf-8"?>
<sst xmlns="http://schemas.openxmlformats.org/spreadsheetml/2006/main" count="181" uniqueCount="137">
  <si>
    <t>ORDER ANALYTICS  —  SQL QUERY RESULTS  |  1,200 Orders  |  Jan 2023 – Jun 2025</t>
  </si>
  <si>
    <t>KEY BUSINESS METRICS</t>
  </si>
  <si>
    <t>Total Revenue</t>
  </si>
  <si>
    <t>SQL: SUM(TotalPrice)</t>
  </si>
  <si>
    <t>Total Orders</t>
  </si>
  <si>
    <t>SQL: COUNT(*)</t>
  </si>
  <si>
    <t>Avg Order Value</t>
  </si>
  <si>
    <t>SQL: AVG(TotalPrice)</t>
  </si>
  <si>
    <t>Delivered Orders</t>
  </si>
  <si>
    <t>SQL: WHERE status='Delivered'</t>
  </si>
  <si>
    <t>Delivery Rate</t>
  </si>
  <si>
    <t>SQL: COUNT(*)/total</t>
  </si>
  <si>
    <t>REVENUE SNAPSHOT BY PRODUCT</t>
  </si>
  <si>
    <t>Product</t>
  </si>
  <si>
    <t>Orders</t>
  </si>
  <si>
    <t>Total Revenue ($)</t>
  </si>
  <si>
    <t>Avg Order ($)</t>
  </si>
  <si>
    <t>% of Total Revenue</t>
  </si>
  <si>
    <t>Chair</t>
  </si>
  <si>
    <t>Printer</t>
  </si>
  <si>
    <t>Laptop</t>
  </si>
  <si>
    <t>Tablet</t>
  </si>
  <si>
    <t>Monitor</t>
  </si>
  <si>
    <t>Desk</t>
  </si>
  <si>
    <t>Phone</t>
  </si>
  <si>
    <t>TOTAL</t>
  </si>
  <si>
    <t>REVENUE BY PRODUCT  —  GROUP BY + SUM + COUNT + AVG</t>
  </si>
  <si>
    <t>SELECT Product, COUNT(*) AS OrderCount, ROUND(SUM(TotalPrice),2) AS TotalRevenue, ROUND(AVG(TotalPrice),2) AS AvgOrderValue  FROM orders  GROUP BY Product  ORDER BY TotalRevenue DESC</t>
  </si>
  <si>
    <t>Order Count</t>
  </si>
  <si>
    <t>% of Revenue</t>
  </si>
  <si>
    <t>100.0%</t>
  </si>
  <si>
    <t>ORDER STATUS BREAKDOWN  —  COUNT + WHERE + GROUP BY</t>
  </si>
  <si>
    <t>SELECT OrderStatus, COUNT(*) AS Count, ROUND(COUNT(*)*100.0/(SELECT COUNT(*) FROM orders),1) AS Pct  FROM orders  GROUP BY OrderStatus  ORDER BY Count DESC</t>
  </si>
  <si>
    <t>Order Status</t>
  </si>
  <si>
    <t>Count</t>
  </si>
  <si>
    <t>Pct %</t>
  </si>
  <si>
    <t>SQL Filter</t>
  </si>
  <si>
    <t>Cancelled</t>
  </si>
  <si>
    <t>WHERE OrderStatus = 'Cancelled'</t>
  </si>
  <si>
    <t>Returned</t>
  </si>
  <si>
    <t>WHERE OrderStatus = 'Returned'</t>
  </si>
  <si>
    <t>Pending</t>
  </si>
  <si>
    <t>WHERE OrderStatus = 'Pending'</t>
  </si>
  <si>
    <t>Shipped</t>
  </si>
  <si>
    <t>WHERE OrderStatus = 'Shipped'</t>
  </si>
  <si>
    <t>Delivered</t>
  </si>
  <si>
    <t>WHERE OrderStatus = 'Delivered'</t>
  </si>
  <si>
    <t>REVENUE BY PAYMENT METHOD  —  SUM + COUNT + GROUP BY</t>
  </si>
  <si>
    <t>SELECT PaymentMethod, COUNT(*) AS Count, ROUND(SUM(TotalPrice),2) AS Revenue  FROM orders  GROUP BY PaymentMethod  ORDER BY Revenue DESC</t>
  </si>
  <si>
    <t>Payment Method</t>
  </si>
  <si>
    <t>Revenue</t>
  </si>
  <si>
    <t>Avg per Order</t>
  </si>
  <si>
    <t>Credit Card</t>
  </si>
  <si>
    <t>Online</t>
  </si>
  <si>
    <t>Cash</t>
  </si>
  <si>
    <t>Gift Card</t>
  </si>
  <si>
    <t>Debit Card</t>
  </si>
  <si>
    <t>REFERRAL SOURCE ANALYSIS  —  SUM + AVG + COUNT + GROUP BY + ORDER BY</t>
  </si>
  <si>
    <t>SELECT ReferralSource, COUNT(*) AS Orders, ROUND(SUM(TotalPrice),2) AS Revenue, ROUND(AVG(TotalPrice),2) AS AvgOrder  FROM orders  GROUP BY ReferralSource  ORDER BY Revenue DESC</t>
  </si>
  <si>
    <t>Referral Source</t>
  </si>
  <si>
    <t>Avg Order</t>
  </si>
  <si>
    <t>% Revenue</t>
  </si>
  <si>
    <t>Instagram</t>
  </si>
  <si>
    <t>Email</t>
  </si>
  <si>
    <t>Google</t>
  </si>
  <si>
    <t>Facebook</t>
  </si>
  <si>
    <t>Referral</t>
  </si>
  <si>
    <t>COUPON CODE IMPACT  —  CASE WHEN + SUM + AVG + GROUP BY</t>
  </si>
  <si>
    <t>SELECT CASE WHEN CouponCode IS NULL THEN 'No Coupon' ELSE CouponCode END AS Coupon, COUNT(*) AS Orders, ROUND(AVG(TotalPrice),2) AS AvgRevenue, ROUND(SUM(TotalPrice),2) AS TotalRevenue  FROM orders  GROUP BY Coupon  ORDER BY TotalRevenue DESC</t>
  </si>
  <si>
    <t>Coupon</t>
  </si>
  <si>
    <t>Avg Revenue</t>
  </si>
  <si>
    <t>% of Total</t>
  </si>
  <si>
    <t>FREESHIP</t>
  </si>
  <si>
    <t>No Coupon</t>
  </si>
  <si>
    <t>SAVE10</t>
  </si>
  <si>
    <t>WINTER15</t>
  </si>
  <si>
    <t>TOP 10 ORDERS BY VALUE  —  ORDER BY + LIMIT</t>
  </si>
  <si>
    <t>SELECT OrderID, Product, CustomerID, TotalPrice, OrderStatus  FROM orders  ORDER BY TotalPrice DESC  LIMIT 10</t>
  </si>
  <si>
    <t>Order ID</t>
  </si>
  <si>
    <t>Customer ID</t>
  </si>
  <si>
    <t>Total Price</t>
  </si>
  <si>
    <t>Status</t>
  </si>
  <si>
    <t>ORD200789</t>
  </si>
  <si>
    <t>C57276</t>
  </si>
  <si>
    <t>ORD201122</t>
  </si>
  <si>
    <t>C38840</t>
  </si>
  <si>
    <t>ORD200632</t>
  </si>
  <si>
    <t>C67260</t>
  </si>
  <si>
    <t>ORD200469</t>
  </si>
  <si>
    <t>C13877</t>
  </si>
  <si>
    <t>ORD200328</t>
  </si>
  <si>
    <t>C18404</t>
  </si>
  <si>
    <t>ORD200107</t>
  </si>
  <si>
    <t>C16775</t>
  </si>
  <si>
    <t>ORD200326</t>
  </si>
  <si>
    <t>C65986</t>
  </si>
  <si>
    <t>ORD201065</t>
  </si>
  <si>
    <t>C47778</t>
  </si>
  <si>
    <t>ORD201031</t>
  </si>
  <si>
    <t>C59183</t>
  </si>
  <si>
    <t>ORD200463</t>
  </si>
  <si>
    <t>C25276</t>
  </si>
  <si>
    <t>MONTHLY REVENUE TREND  —  strftime + GROUP BY + ORDER BY</t>
  </si>
  <si>
    <t>SELECT strftime('%Y-%m', Date) AS Month, COUNT(*) AS Orders, ROUND(SUM(TotalPrice),2) AS Revenue  FROM orders  GROUP BY Month  ORDER BY Month</t>
  </si>
  <si>
    <t>Month</t>
  </si>
  <si>
    <t>MoM Change</t>
  </si>
  <si>
    <t>2023-01</t>
  </si>
  <si>
    <t>—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</si>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</sst>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"/>
    <numFmt numFmtId="165" formatCode="\$#,##0.00"/>
    <numFmt numFmtId="166" formatCode="0.0%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2C0A14"/>
      <name val="Arial"/>
      <charset val="1"/>
    </font>
    <font>
      <b/>
      <sz val="12"/>
      <color rgb="FF6B1A2E"/>
      <name val="Arial"/>
      <charset val="1"/>
    </font>
    <font>
      <i/>
      <sz val="8"/>
      <color rgb="FFC4637A"/>
      <name val="Courier New"/>
      <charset val="1"/>
    </font>
    <font>
      <sz val="10"/>
      <color rgb="FF2C0A14"/>
      <name val="Arial"/>
      <charset val="1"/>
    </font>
    <font>
      <b/>
      <sz val="10"/>
      <color rgb="FFFFFFFF"/>
      <name val="Arial"/>
      <charset val="1"/>
    </font>
    <font>
      <i/>
      <sz val="9"/>
      <color rgb="FF9B2A45"/>
      <name val="Courier New"/>
      <charset val="1"/>
    </font>
    <font>
      <b/>
      <sz val="11"/>
      <color rgb="FFFFFFFF"/>
      <name val="Arial"/>
      <charset val="1"/>
    </font>
    <font>
      <b/>
      <sz val="9"/>
      <color rgb="FF6B1A2E"/>
      <name val="Arial"/>
      <charset val="1"/>
    </font>
    <font>
      <sz val="10"/>
      <color rgb="FFD4A0AA"/>
      <name val="Arial"/>
      <charset val="1"/>
    </font>
    <font>
      <i/>
      <sz val="8"/>
      <color rgb="FFC4637A"/>
      <name val="Calibri"/>
      <family val="2"/>
      <scheme val="minor"/>
    </font>
    <font>
      <sz val="9"/>
      <color rgb="FFC4637A"/>
      <name val="Calibri"/>
      <family val="2"/>
      <scheme val="minor"/>
    </font>
    <font>
      <sz val="11"/>
      <color rgb="FFC4637A"/>
      <name val="Calibri"/>
      <family val="2"/>
      <scheme val="minor"/>
    </font>
    <font>
      <sz val="10"/>
      <color rgb="FF9B2A45"/>
      <name val="Calibri"/>
      <family val="2"/>
      <scheme val="minor"/>
    </font>
    <font>
      <sz val="9"/>
      <color rgb="FF9B2A45"/>
      <name val="Calibri"/>
      <family val="2"/>
      <scheme val="minor"/>
    </font>
    <font>
      <sz val="9"/>
      <color rgb="FF9B2A45"/>
      <name val="Arial"/>
      <family val="2"/>
    </font>
    <font>
      <sz val="10"/>
      <color rgb="FF2C0A14"/>
      <name val="Arial"/>
      <family val="2"/>
    </font>
    <font>
      <sz val="9"/>
      <color rgb="FFC4637A"/>
      <name val="Arial"/>
      <family val="2"/>
    </font>
    <font>
      <sz val="9"/>
      <color rgb="FF2C0A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B1A2E"/>
        <bgColor rgb="FF800000"/>
      </patternFill>
    </fill>
    <fill>
      <patternFill patternType="solid">
        <fgColor rgb="FFF2C4CE"/>
        <bgColor rgb="FFF7D6DE"/>
      </patternFill>
    </fill>
    <fill>
      <patternFill patternType="solid">
        <fgColor rgb="FFF7D6DE"/>
        <bgColor rgb="FFF2C4CE"/>
      </patternFill>
    </fill>
    <fill>
      <patternFill patternType="solid">
        <fgColor rgb="FFFFFFFF"/>
        <bgColor rgb="FFFFF0F3"/>
      </patternFill>
    </fill>
    <fill>
      <patternFill patternType="solid">
        <fgColor rgb="FF9B2A45"/>
        <bgColor rgb="FF993366"/>
      </patternFill>
    </fill>
    <fill>
      <patternFill patternType="solid">
        <fgColor rgb="FFFFF0F3"/>
        <bgColor rgb="FFFFFFFF"/>
      </patternFill>
    </fill>
    <fill>
      <patternFill patternType="solid">
        <fgColor rgb="FFEDAAB8"/>
        <bgColor rgb="FFD4A0AA"/>
      </patternFill>
    </fill>
  </fills>
  <borders count="2">
    <border>
      <left/>
      <right/>
      <top/>
      <bottom/>
      <diagonal/>
    </border>
    <border>
      <left style="thin">
        <color rgb="FFD4A0AA"/>
      </left>
      <right style="thin">
        <color rgb="FFD4A0AA"/>
      </right>
      <top style="thin">
        <color rgb="FFD4A0AA"/>
      </top>
      <bottom style="thin">
        <color rgb="FFD4A0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7" fillId="7" borderId="0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4" fillId="7" borderId="0" xfId="0" applyFont="1" applyFill="1" applyBorder="1" applyAlignment="1">
      <alignment horizontal="left" vertical="center" wrapText="1"/>
    </xf>
    <xf numFmtId="0" fontId="15" fillId="7" borderId="0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6" fillId="7" borderId="0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0AA"/>
      <rgbColor rgb="FF808080"/>
      <rgbColor rgb="FF9999FF"/>
      <rgbColor rgb="FF9B2A45"/>
      <rgbColor rgb="FFFFF0F3"/>
      <rgbColor rgb="FFCCFFFF"/>
      <rgbColor rgb="FF6B1A2E"/>
      <rgbColor rgb="FFC4637A"/>
      <rgbColor rgb="FF0066CC"/>
      <rgbColor rgb="FFF7D6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DAAB8"/>
      <rgbColor rgb="FFCC99FF"/>
      <rgbColor rgb="FFF2C4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0A1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Normal="100" workbookViewId="0">
      <pane ySplit="3" topLeftCell="A4" activePane="bottomLeft" state="frozen"/>
      <selection pane="bottomLeft" activeCell="F12" sqref="F12"/>
    </sheetView>
  </sheetViews>
  <sheetFormatPr defaultColWidth="8.6640625" defaultRowHeight="14.25" x14ac:dyDescent="0.45"/>
  <cols>
    <col min="1" max="1" width="28" customWidth="1"/>
    <col min="2" max="4" width="16" customWidth="1"/>
    <col min="5" max="5" width="37.73046875" customWidth="1"/>
  </cols>
  <sheetData>
    <row r="1" spans="1:5" ht="27.75" customHeight="1" x14ac:dyDescent="0.45">
      <c r="A1" s="5" t="s">
        <v>0</v>
      </c>
      <c r="B1" s="5"/>
      <c r="C1" s="5"/>
      <c r="D1" s="5"/>
      <c r="E1" s="5"/>
    </row>
    <row r="3" spans="1:5" ht="19.5" customHeight="1" x14ac:dyDescent="0.45">
      <c r="A3" s="4" t="s">
        <v>1</v>
      </c>
      <c r="B3" s="4"/>
      <c r="C3" s="4"/>
      <c r="D3" s="4"/>
      <c r="E3" s="4"/>
    </row>
    <row r="4" spans="1:5" ht="36" customHeight="1" x14ac:dyDescent="0.45">
      <c r="A4" s="6" t="s">
        <v>2</v>
      </c>
      <c r="B4" s="7">
        <f>SUM('Revenue by Product'!C4:C10)</f>
        <v>1264761.96</v>
      </c>
      <c r="C4" s="33" t="s">
        <v>3</v>
      </c>
      <c r="D4" s="32"/>
      <c r="E4" s="32"/>
    </row>
    <row r="5" spans="1:5" ht="36" customHeight="1" x14ac:dyDescent="0.45">
      <c r="A5" s="8" t="s">
        <v>4</v>
      </c>
      <c r="B5" s="9">
        <f>SUM('Revenue by Product'!B4:B10)</f>
        <v>1200</v>
      </c>
      <c r="C5" s="34" t="s">
        <v>5</v>
      </c>
      <c r="D5" s="2"/>
      <c r="E5" s="2"/>
    </row>
    <row r="6" spans="1:5" ht="36" customHeight="1" x14ac:dyDescent="0.45">
      <c r="A6" s="6" t="s">
        <v>6</v>
      </c>
      <c r="B6" s="10">
        <f>'Revenue by Product'!D11</f>
        <v>1052.5457142857142</v>
      </c>
      <c r="C6" s="33" t="s">
        <v>7</v>
      </c>
      <c r="D6" s="3"/>
      <c r="E6" s="3"/>
    </row>
    <row r="7" spans="1:5" ht="36" customHeight="1" x14ac:dyDescent="0.45">
      <c r="A7" s="8" t="s">
        <v>8</v>
      </c>
      <c r="B7" s="9">
        <f>'Order Status'!B5</f>
        <v>247</v>
      </c>
      <c r="C7" s="34" t="s">
        <v>9</v>
      </c>
      <c r="D7" s="2"/>
      <c r="E7" s="2"/>
    </row>
    <row r="8" spans="1:5" ht="36" customHeight="1" x14ac:dyDescent="0.45">
      <c r="A8" s="6" t="s">
        <v>10</v>
      </c>
      <c r="B8" s="11">
        <f>'Order Status'!C5/100</f>
        <v>2.0599999999999998E-3</v>
      </c>
      <c r="C8" s="33" t="s">
        <v>11</v>
      </c>
      <c r="D8" s="3"/>
      <c r="E8" s="3"/>
    </row>
    <row r="9" spans="1:5" ht="13.5" customHeight="1" x14ac:dyDescent="0.45"/>
    <row r="10" spans="1:5" ht="19.5" customHeight="1" x14ac:dyDescent="0.45">
      <c r="A10" s="4" t="s">
        <v>12</v>
      </c>
      <c r="B10" s="4"/>
      <c r="C10" s="4"/>
      <c r="D10" s="4"/>
      <c r="E10" s="4"/>
    </row>
    <row r="11" spans="1:5" ht="18" customHeight="1" x14ac:dyDescent="0.45">
      <c r="A11" s="12" t="s">
        <v>13</v>
      </c>
      <c r="B11" s="12" t="s">
        <v>14</v>
      </c>
      <c r="C11" s="12" t="s">
        <v>15</v>
      </c>
      <c r="D11" s="12" t="s">
        <v>16</v>
      </c>
      <c r="E11" s="12" t="s">
        <v>17</v>
      </c>
    </row>
    <row r="12" spans="1:5" ht="18" customHeight="1" x14ac:dyDescent="0.45">
      <c r="A12" s="13" t="s">
        <v>18</v>
      </c>
      <c r="B12" s="14">
        <v>178</v>
      </c>
      <c r="C12" s="15">
        <v>195620.11</v>
      </c>
      <c r="D12" s="15">
        <v>1098.99</v>
      </c>
      <c r="E12" s="16">
        <f>C12/SUM(C12:C18)</f>
        <v>0.15466950792859077</v>
      </c>
    </row>
    <row r="13" spans="1:5" ht="18" customHeight="1" x14ac:dyDescent="0.45">
      <c r="A13" s="17" t="s">
        <v>19</v>
      </c>
      <c r="B13" s="18">
        <v>181</v>
      </c>
      <c r="C13" s="19">
        <v>195612.61</v>
      </c>
      <c r="D13" s="19">
        <v>1080.73</v>
      </c>
      <c r="E13" s="20">
        <f>C13/SUM(C12:C18)</f>
        <v>0.15466357795897023</v>
      </c>
    </row>
    <row r="14" spans="1:5" ht="18" customHeight="1" x14ac:dyDescent="0.45">
      <c r="A14" s="13" t="s">
        <v>20</v>
      </c>
      <c r="B14" s="14">
        <v>173</v>
      </c>
      <c r="C14" s="15">
        <v>192126.56</v>
      </c>
      <c r="D14" s="15">
        <v>1110.56</v>
      </c>
      <c r="E14" s="16">
        <f>C14/SUM(C12:C18)</f>
        <v>0.15190728854621782</v>
      </c>
    </row>
    <row r="15" spans="1:5" ht="18" customHeight="1" x14ac:dyDescent="0.45">
      <c r="A15" s="17" t="s">
        <v>21</v>
      </c>
      <c r="B15" s="18">
        <v>179</v>
      </c>
      <c r="C15" s="19">
        <v>186568.95</v>
      </c>
      <c r="D15" s="19">
        <v>1042.28</v>
      </c>
      <c r="E15" s="20">
        <f>C15/SUM(C12:C18)</f>
        <v>0.14751309408451849</v>
      </c>
    </row>
    <row r="16" spans="1:5" ht="18" customHeight="1" x14ac:dyDescent="0.45">
      <c r="A16" s="13" t="s">
        <v>22</v>
      </c>
      <c r="B16" s="14">
        <v>163</v>
      </c>
      <c r="C16" s="15">
        <v>175651.41</v>
      </c>
      <c r="D16" s="15">
        <v>1077.6199999999999</v>
      </c>
      <c r="E16" s="16">
        <f>C16/SUM(C12:C18)</f>
        <v>0.13888100334706463</v>
      </c>
    </row>
    <row r="17" spans="1:5" ht="18" customHeight="1" x14ac:dyDescent="0.45">
      <c r="A17" s="17" t="s">
        <v>23</v>
      </c>
      <c r="B17" s="18">
        <v>170</v>
      </c>
      <c r="C17" s="19">
        <v>167459.93</v>
      </c>
      <c r="D17" s="19">
        <v>985.06</v>
      </c>
      <c r="E17" s="20">
        <f>C17/SUM(C12:C18)</f>
        <v>0.13240430634077577</v>
      </c>
    </row>
    <row r="18" spans="1:5" ht="18" customHeight="1" x14ac:dyDescent="0.45">
      <c r="A18" s="13" t="s">
        <v>24</v>
      </c>
      <c r="B18" s="14">
        <v>156</v>
      </c>
      <c r="C18" s="15">
        <v>151722.39000000001</v>
      </c>
      <c r="D18" s="15">
        <v>972.58</v>
      </c>
      <c r="E18" s="16">
        <f>C18/SUM(C12:C18)</f>
        <v>0.11996122179386232</v>
      </c>
    </row>
    <row r="19" spans="1:5" ht="19.5" customHeight="1" x14ac:dyDescent="0.45">
      <c r="A19" s="21" t="s">
        <v>25</v>
      </c>
      <c r="B19" s="22">
        <f>SUM(B12:B18)</f>
        <v>1200</v>
      </c>
      <c r="C19" s="23">
        <f>SUM(C12:C18)</f>
        <v>1264761.96</v>
      </c>
      <c r="D19" s="23">
        <f>AVERAGE(D12:D18)</f>
        <v>1052.5457142857142</v>
      </c>
      <c r="E19" s="24">
        <f>SUM(E12:E18)</f>
        <v>1.0000000000000002</v>
      </c>
    </row>
  </sheetData>
  <mergeCells count="8">
    <mergeCell ref="C7:E7"/>
    <mergeCell ref="C8:E8"/>
    <mergeCell ref="A10:E10"/>
    <mergeCell ref="A1:E1"/>
    <mergeCell ref="A3:E3"/>
    <mergeCell ref="C4:E4"/>
    <mergeCell ref="C5:E5"/>
    <mergeCell ref="C6:E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zoomScaleNormal="100" workbookViewId="0">
      <pane ySplit="3" topLeftCell="A4" activePane="bottomLeft" state="frozen"/>
      <selection pane="bottomLeft" activeCell="C14" sqref="C14"/>
    </sheetView>
  </sheetViews>
  <sheetFormatPr defaultColWidth="8.6640625" defaultRowHeight="14.25" x14ac:dyDescent="0.45"/>
  <cols>
    <col min="1" max="1" width="22" customWidth="1"/>
    <col min="2" max="2" width="12" customWidth="1"/>
    <col min="3" max="3" width="20" customWidth="1"/>
    <col min="4" max="4" width="18" customWidth="1"/>
    <col min="5" max="5" width="16" customWidth="1"/>
  </cols>
  <sheetData>
    <row r="1" spans="1:5" ht="27.75" customHeight="1" x14ac:dyDescent="0.45">
      <c r="A1" s="5" t="s">
        <v>26</v>
      </c>
      <c r="B1" s="5"/>
      <c r="C1" s="5"/>
      <c r="D1" s="5"/>
      <c r="E1" s="5"/>
    </row>
    <row r="2" spans="1:5" ht="36" customHeight="1" x14ac:dyDescent="0.45">
      <c r="A2" s="35" t="s">
        <v>27</v>
      </c>
      <c r="B2" s="1"/>
      <c r="C2" s="1"/>
      <c r="D2" s="1"/>
      <c r="E2" s="1"/>
    </row>
    <row r="3" spans="1:5" ht="21.75" customHeight="1" x14ac:dyDescent="0.45">
      <c r="A3" s="25" t="s">
        <v>13</v>
      </c>
      <c r="B3" s="25" t="s">
        <v>28</v>
      </c>
      <c r="C3" s="25" t="s">
        <v>2</v>
      </c>
      <c r="D3" s="25" t="s">
        <v>6</v>
      </c>
      <c r="E3" s="25" t="s">
        <v>29</v>
      </c>
    </row>
    <row r="4" spans="1:5" ht="18" customHeight="1" x14ac:dyDescent="0.45">
      <c r="A4" s="13" t="s">
        <v>18</v>
      </c>
      <c r="B4" s="14">
        <v>178</v>
      </c>
      <c r="C4" s="15">
        <v>195620.11</v>
      </c>
      <c r="D4" s="15">
        <v>1098.99</v>
      </c>
      <c r="E4" s="16">
        <f t="shared" ref="E4:E10" si="0">C4/SUM($C$4:$C$10)</f>
        <v>0.15466950792859077</v>
      </c>
    </row>
    <row r="5" spans="1:5" ht="18" customHeight="1" x14ac:dyDescent="0.45">
      <c r="A5" s="17" t="s">
        <v>19</v>
      </c>
      <c r="B5" s="18">
        <v>181</v>
      </c>
      <c r="C5" s="19">
        <v>195612.61</v>
      </c>
      <c r="D5" s="19">
        <v>1080.73</v>
      </c>
      <c r="E5" s="20">
        <f t="shared" si="0"/>
        <v>0.15466357795897023</v>
      </c>
    </row>
    <row r="6" spans="1:5" ht="18" customHeight="1" x14ac:dyDescent="0.45">
      <c r="A6" s="13" t="s">
        <v>20</v>
      </c>
      <c r="B6" s="14">
        <v>173</v>
      </c>
      <c r="C6" s="15">
        <v>192126.56</v>
      </c>
      <c r="D6" s="15">
        <v>1110.56</v>
      </c>
      <c r="E6" s="16">
        <f t="shared" si="0"/>
        <v>0.15190728854621782</v>
      </c>
    </row>
    <row r="7" spans="1:5" ht="18" customHeight="1" x14ac:dyDescent="0.45">
      <c r="A7" s="17" t="s">
        <v>21</v>
      </c>
      <c r="B7" s="18">
        <v>179</v>
      </c>
      <c r="C7" s="19">
        <v>186568.95</v>
      </c>
      <c r="D7" s="19">
        <v>1042.28</v>
      </c>
      <c r="E7" s="20">
        <f t="shared" si="0"/>
        <v>0.14751309408451849</v>
      </c>
    </row>
    <row r="8" spans="1:5" ht="18" customHeight="1" x14ac:dyDescent="0.45">
      <c r="A8" s="13" t="s">
        <v>22</v>
      </c>
      <c r="B8" s="14">
        <v>163</v>
      </c>
      <c r="C8" s="15">
        <v>175651.41</v>
      </c>
      <c r="D8" s="15">
        <v>1077.6199999999999</v>
      </c>
      <c r="E8" s="16">
        <f t="shared" si="0"/>
        <v>0.13888100334706463</v>
      </c>
    </row>
    <row r="9" spans="1:5" ht="18" customHeight="1" x14ac:dyDescent="0.45">
      <c r="A9" s="17" t="s">
        <v>23</v>
      </c>
      <c r="B9" s="18">
        <v>170</v>
      </c>
      <c r="C9" s="19">
        <v>167459.93</v>
      </c>
      <c r="D9" s="19">
        <v>985.06</v>
      </c>
      <c r="E9" s="20">
        <f t="shared" si="0"/>
        <v>0.13240430634077577</v>
      </c>
    </row>
    <row r="10" spans="1:5" ht="18" customHeight="1" x14ac:dyDescent="0.45">
      <c r="A10" s="13" t="s">
        <v>24</v>
      </c>
      <c r="B10" s="14">
        <v>156</v>
      </c>
      <c r="C10" s="15">
        <v>151722.39000000001</v>
      </c>
      <c r="D10" s="15">
        <v>972.58</v>
      </c>
      <c r="E10" s="16">
        <f t="shared" si="0"/>
        <v>0.11996122179386232</v>
      </c>
    </row>
    <row r="11" spans="1:5" ht="19.5" customHeight="1" x14ac:dyDescent="0.45">
      <c r="A11" s="21" t="s">
        <v>25</v>
      </c>
      <c r="B11" s="22">
        <f>SUM(B4:B10)</f>
        <v>1200</v>
      </c>
      <c r="C11" s="23">
        <f>SUM(C4:C10)</f>
        <v>1264761.96</v>
      </c>
      <c r="D11" s="23">
        <f>AVERAGE(D4:D10)</f>
        <v>1052.5457142857142</v>
      </c>
      <c r="E11" s="24" t="s">
        <v>30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zoomScaleNormal="100" workbookViewId="0">
      <pane ySplit="3" topLeftCell="A4" activePane="bottomLeft" state="frozen"/>
      <selection pane="bottomLeft" activeCell="C13" sqref="C13"/>
    </sheetView>
  </sheetViews>
  <sheetFormatPr defaultColWidth="8.6640625" defaultRowHeight="14.25" x14ac:dyDescent="0.45"/>
  <cols>
    <col min="1" max="1" width="22" customWidth="1"/>
    <col min="2" max="2" width="14" customWidth="1"/>
    <col min="3" max="3" width="12" customWidth="1"/>
    <col min="4" max="4" width="28.265625" bestFit="1" customWidth="1"/>
  </cols>
  <sheetData>
    <row r="1" spans="1:4" ht="27.75" customHeight="1" x14ac:dyDescent="0.45">
      <c r="A1" s="5" t="s">
        <v>31</v>
      </c>
      <c r="B1" s="5"/>
      <c r="C1" s="5"/>
      <c r="D1" s="5"/>
    </row>
    <row r="2" spans="1:4" ht="36" customHeight="1" x14ac:dyDescent="0.45">
      <c r="A2" s="36" t="s">
        <v>32</v>
      </c>
      <c r="B2" s="1"/>
      <c r="C2" s="1"/>
      <c r="D2" s="1"/>
    </row>
    <row r="3" spans="1:4" ht="21.75" customHeight="1" x14ac:dyDescent="0.45">
      <c r="A3" s="25" t="s">
        <v>33</v>
      </c>
      <c r="B3" s="25" t="s">
        <v>34</v>
      </c>
      <c r="C3" s="25" t="s">
        <v>35</v>
      </c>
      <c r="D3" s="25" t="s">
        <v>36</v>
      </c>
    </row>
    <row r="4" spans="1:4" ht="18" customHeight="1" x14ac:dyDescent="0.45">
      <c r="A4" s="13" t="s">
        <v>37</v>
      </c>
      <c r="B4" s="14">
        <v>250</v>
      </c>
      <c r="C4" s="16">
        <v>0.20799999999999999</v>
      </c>
      <c r="D4" s="37" t="s">
        <v>38</v>
      </c>
    </row>
    <row r="5" spans="1:4" ht="18" customHeight="1" x14ac:dyDescent="0.45">
      <c r="A5" s="17" t="s">
        <v>39</v>
      </c>
      <c r="B5" s="18">
        <v>247</v>
      </c>
      <c r="C5" s="20">
        <v>0.20599999999999999</v>
      </c>
      <c r="D5" s="38" t="s">
        <v>40</v>
      </c>
    </row>
    <row r="6" spans="1:4" ht="18" customHeight="1" x14ac:dyDescent="0.45">
      <c r="A6" s="13" t="s">
        <v>41</v>
      </c>
      <c r="B6" s="14">
        <v>237</v>
      </c>
      <c r="C6" s="16">
        <v>0.19800000000000001</v>
      </c>
      <c r="D6" s="37" t="s">
        <v>42</v>
      </c>
    </row>
    <row r="7" spans="1:4" ht="18" customHeight="1" x14ac:dyDescent="0.45">
      <c r="A7" s="17" t="s">
        <v>43</v>
      </c>
      <c r="B7" s="18">
        <v>235</v>
      </c>
      <c r="C7" s="20">
        <v>0.19600000000000001</v>
      </c>
      <c r="D7" s="38" t="s">
        <v>44</v>
      </c>
    </row>
    <row r="8" spans="1:4" ht="18" customHeight="1" x14ac:dyDescent="0.45">
      <c r="A8" s="13" t="s">
        <v>45</v>
      </c>
      <c r="B8" s="14">
        <v>231</v>
      </c>
      <c r="C8" s="16">
        <v>0.193</v>
      </c>
      <c r="D8" s="37" t="s">
        <v>46</v>
      </c>
    </row>
    <row r="9" spans="1:4" ht="19.5" customHeight="1" x14ac:dyDescent="0.45">
      <c r="A9" s="21" t="s">
        <v>25</v>
      </c>
      <c r="B9" s="22">
        <f>SUM(B4:B8)</f>
        <v>1200</v>
      </c>
      <c r="C9" s="24">
        <f>SUM(C4:C8)</f>
        <v>1.0010000000000001</v>
      </c>
      <c r="D9" s="26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tabSelected="1" zoomScaleNormal="100" workbookViewId="0">
      <pane ySplit="3" topLeftCell="A4" activePane="bottomLeft" state="frozen"/>
      <selection pane="bottomLeft" activeCell="C18" sqref="C18"/>
    </sheetView>
  </sheetViews>
  <sheetFormatPr defaultColWidth="8.6640625" defaultRowHeight="14.25" x14ac:dyDescent="0.45"/>
  <cols>
    <col min="1" max="1" width="20" customWidth="1"/>
    <col min="2" max="2" width="12" customWidth="1"/>
    <col min="3" max="3" width="18" customWidth="1"/>
    <col min="4" max="4" width="33.53125" customWidth="1"/>
  </cols>
  <sheetData>
    <row r="1" spans="1:4" ht="27.75" customHeight="1" x14ac:dyDescent="0.45">
      <c r="A1" s="5" t="s">
        <v>47</v>
      </c>
      <c r="B1" s="5"/>
      <c r="C1" s="5"/>
      <c r="D1" s="5"/>
    </row>
    <row r="2" spans="1:4" ht="36" customHeight="1" x14ac:dyDescent="0.45">
      <c r="A2" s="35" t="s">
        <v>48</v>
      </c>
      <c r="B2" s="1"/>
      <c r="C2" s="1"/>
      <c r="D2" s="1"/>
    </row>
    <row r="3" spans="1:4" ht="21.75" customHeight="1" x14ac:dyDescent="0.45">
      <c r="A3" s="25" t="s">
        <v>49</v>
      </c>
      <c r="B3" s="25" t="s">
        <v>28</v>
      </c>
      <c r="C3" s="25" t="s">
        <v>50</v>
      </c>
      <c r="D3" s="25" t="s">
        <v>51</v>
      </c>
    </row>
    <row r="4" spans="1:4" ht="18" customHeight="1" x14ac:dyDescent="0.45">
      <c r="A4" s="13" t="s">
        <v>52</v>
      </c>
      <c r="B4" s="14">
        <v>234</v>
      </c>
      <c r="C4" s="15">
        <v>263847.63</v>
      </c>
      <c r="D4" s="27">
        <f>C4/B4</f>
        <v>1127.5539743589743</v>
      </c>
    </row>
    <row r="5" spans="1:4" ht="18" customHeight="1" x14ac:dyDescent="0.45">
      <c r="A5" s="17" t="s">
        <v>53</v>
      </c>
      <c r="B5" s="18">
        <v>258</v>
      </c>
      <c r="C5" s="19">
        <v>262442.94</v>
      </c>
      <c r="D5" s="28">
        <f>C5/B5</f>
        <v>1017.2206976744186</v>
      </c>
    </row>
    <row r="6" spans="1:4" ht="18" customHeight="1" x14ac:dyDescent="0.45">
      <c r="A6" s="13" t="s">
        <v>54</v>
      </c>
      <c r="B6" s="14">
        <v>246</v>
      </c>
      <c r="C6" s="15">
        <v>259786.29</v>
      </c>
      <c r="D6" s="27">
        <f>C6/B6</f>
        <v>1056.0418292682928</v>
      </c>
    </row>
    <row r="7" spans="1:4" ht="18" customHeight="1" x14ac:dyDescent="0.45">
      <c r="A7" s="17" t="s">
        <v>55</v>
      </c>
      <c r="B7" s="18">
        <v>230</v>
      </c>
      <c r="C7" s="19">
        <v>246323.92</v>
      </c>
      <c r="D7" s="28">
        <f>C7/B7</f>
        <v>1070.9735652173913</v>
      </c>
    </row>
    <row r="8" spans="1:4" ht="18" customHeight="1" x14ac:dyDescent="0.45">
      <c r="A8" s="13" t="s">
        <v>56</v>
      </c>
      <c r="B8" s="14">
        <v>232</v>
      </c>
      <c r="C8" s="15">
        <v>232361.18</v>
      </c>
      <c r="D8" s="27">
        <f>C8/B8</f>
        <v>1001.5568103448276</v>
      </c>
    </row>
    <row r="9" spans="1:4" ht="19.5" customHeight="1" x14ac:dyDescent="0.45">
      <c r="A9" s="21" t="s">
        <v>25</v>
      </c>
      <c r="B9" s="22">
        <f>SUM(B4:B8)</f>
        <v>1200</v>
      </c>
      <c r="C9" s="23">
        <f>SUM(C4:C8)</f>
        <v>1264761.9600000002</v>
      </c>
      <c r="D9" s="23">
        <f>AVERAGE(D4:D8)</f>
        <v>1054.6693753727809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zoomScaleNormal="100" workbookViewId="0">
      <pane ySplit="3" topLeftCell="A4" activePane="bottomLeft" state="frozen"/>
      <selection pane="bottomLeft" activeCell="A15" sqref="A15"/>
    </sheetView>
  </sheetViews>
  <sheetFormatPr defaultColWidth="8.6640625" defaultRowHeight="14.25" x14ac:dyDescent="0.45"/>
  <cols>
    <col min="1" max="1" width="20" customWidth="1"/>
    <col min="2" max="2" width="12" customWidth="1"/>
    <col min="3" max="3" width="18" customWidth="1"/>
    <col min="4" max="4" width="16" customWidth="1"/>
    <col min="5" max="5" width="34.265625" customWidth="1"/>
  </cols>
  <sheetData>
    <row r="1" spans="1:5" ht="27.75" customHeight="1" x14ac:dyDescent="0.45">
      <c r="A1" s="5" t="s">
        <v>57</v>
      </c>
      <c r="B1" s="5"/>
      <c r="C1" s="5"/>
      <c r="D1" s="5"/>
      <c r="E1" s="5"/>
    </row>
    <row r="2" spans="1:5" ht="36" customHeight="1" x14ac:dyDescent="0.45">
      <c r="A2" s="35" t="s">
        <v>58</v>
      </c>
      <c r="B2" s="1"/>
      <c r="C2" s="1"/>
      <c r="D2" s="1"/>
      <c r="E2" s="1"/>
    </row>
    <row r="3" spans="1:5" ht="21.75" customHeight="1" x14ac:dyDescent="0.45">
      <c r="A3" s="25" t="s">
        <v>59</v>
      </c>
      <c r="B3" s="25" t="s">
        <v>14</v>
      </c>
      <c r="C3" s="25" t="s">
        <v>50</v>
      </c>
      <c r="D3" s="25" t="s">
        <v>60</v>
      </c>
      <c r="E3" s="25" t="s">
        <v>61</v>
      </c>
    </row>
    <row r="4" spans="1:5" ht="18" customHeight="1" x14ac:dyDescent="0.45">
      <c r="A4" s="13" t="s">
        <v>62</v>
      </c>
      <c r="B4" s="14">
        <v>259</v>
      </c>
      <c r="C4" s="15">
        <v>275285.45</v>
      </c>
      <c r="D4" s="15">
        <v>1062.8800000000001</v>
      </c>
      <c r="E4" s="16">
        <f>C4/SUM($C$4:$C$8)</f>
        <v>0.21765791406313328</v>
      </c>
    </row>
    <row r="5" spans="1:5" ht="18" customHeight="1" x14ac:dyDescent="0.45">
      <c r="A5" s="17" t="s">
        <v>63</v>
      </c>
      <c r="B5" s="18">
        <v>250</v>
      </c>
      <c r="C5" s="19">
        <v>261808.55</v>
      </c>
      <c r="D5" s="19">
        <v>1047.23</v>
      </c>
      <c r="E5" s="20">
        <f>C5/SUM($C$4:$C$8)</f>
        <v>0.20700223305261331</v>
      </c>
    </row>
    <row r="6" spans="1:5" ht="18" customHeight="1" x14ac:dyDescent="0.45">
      <c r="A6" s="13" t="s">
        <v>64</v>
      </c>
      <c r="B6" s="14">
        <v>241</v>
      </c>
      <c r="C6" s="15">
        <v>250441.48</v>
      </c>
      <c r="D6" s="15">
        <v>1039.18</v>
      </c>
      <c r="E6" s="16">
        <f>C6/SUM($C$4:$C$8)</f>
        <v>0.19801471574935731</v>
      </c>
    </row>
    <row r="7" spans="1:5" ht="18" customHeight="1" x14ac:dyDescent="0.45">
      <c r="A7" s="17" t="s">
        <v>65</v>
      </c>
      <c r="B7" s="18">
        <v>228</v>
      </c>
      <c r="C7" s="19">
        <v>250410.9</v>
      </c>
      <c r="D7" s="19">
        <v>1098.29</v>
      </c>
      <c r="E7" s="20">
        <f>C7/SUM($C$4:$C$8)</f>
        <v>0.19799053728655786</v>
      </c>
    </row>
    <row r="8" spans="1:5" ht="18" customHeight="1" x14ac:dyDescent="0.45">
      <c r="A8" s="13" t="s">
        <v>66</v>
      </c>
      <c r="B8" s="14">
        <v>222</v>
      </c>
      <c r="C8" s="15">
        <v>226815.58</v>
      </c>
      <c r="D8" s="15">
        <v>1021.69</v>
      </c>
      <c r="E8" s="16">
        <f>C8/SUM($C$4:$C$8)</f>
        <v>0.17933459984833824</v>
      </c>
    </row>
    <row r="9" spans="1:5" ht="19.5" customHeight="1" x14ac:dyDescent="0.45">
      <c r="A9" s="21" t="s">
        <v>25</v>
      </c>
      <c r="B9" s="22">
        <f>SUM(B4:B8)</f>
        <v>1200</v>
      </c>
      <c r="C9" s="23">
        <f>SUM(C4:C8)</f>
        <v>1264761.96</v>
      </c>
      <c r="D9" s="23">
        <f>AVERAGE(D4:D8)</f>
        <v>1053.854</v>
      </c>
      <c r="E9" s="24">
        <f>SUM(E4:E8)</f>
        <v>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zoomScaleNormal="100" workbookViewId="0">
      <pane ySplit="3" topLeftCell="A4" activePane="bottomLeft" state="frozen"/>
      <selection pane="bottomLeft" activeCell="A2" sqref="A2:E2"/>
    </sheetView>
  </sheetViews>
  <sheetFormatPr defaultColWidth="8.6640625" defaultRowHeight="14.25" x14ac:dyDescent="0.45"/>
  <cols>
    <col min="1" max="1" width="18" customWidth="1"/>
    <col min="2" max="2" width="12" customWidth="1"/>
    <col min="3" max="3" width="18" customWidth="1"/>
    <col min="4" max="4" width="16" customWidth="1"/>
    <col min="5" max="5" width="25.33203125" customWidth="1"/>
  </cols>
  <sheetData>
    <row r="1" spans="1:5" ht="27.75" customHeight="1" x14ac:dyDescent="0.45">
      <c r="A1" s="5" t="s">
        <v>67</v>
      </c>
      <c r="B1" s="5"/>
      <c r="C1" s="5"/>
      <c r="D1" s="5"/>
      <c r="E1" s="5"/>
    </row>
    <row r="2" spans="1:5" ht="36" customHeight="1" x14ac:dyDescent="0.45">
      <c r="A2" s="36" t="s">
        <v>68</v>
      </c>
      <c r="B2" s="1"/>
      <c r="C2" s="1"/>
      <c r="D2" s="1"/>
      <c r="E2" s="1"/>
    </row>
    <row r="3" spans="1:5" ht="21.75" customHeight="1" x14ac:dyDescent="0.45">
      <c r="A3" s="25" t="s">
        <v>69</v>
      </c>
      <c r="B3" s="25" t="s">
        <v>14</v>
      </c>
      <c r="C3" s="25" t="s">
        <v>70</v>
      </c>
      <c r="D3" s="25" t="s">
        <v>2</v>
      </c>
      <c r="E3" s="25" t="s">
        <v>71</v>
      </c>
    </row>
    <row r="4" spans="1:5" ht="18" customHeight="1" x14ac:dyDescent="0.45">
      <c r="A4" s="13" t="s">
        <v>72</v>
      </c>
      <c r="B4" s="14">
        <v>313</v>
      </c>
      <c r="C4" s="15">
        <v>1070.4100000000001</v>
      </c>
      <c r="D4" s="15">
        <v>335036.99</v>
      </c>
      <c r="E4" s="16">
        <f>D4/SUM($D$4:$D$7)</f>
        <v>0.26490122299377189</v>
      </c>
    </row>
    <row r="5" spans="1:5" ht="18" customHeight="1" x14ac:dyDescent="0.45">
      <c r="A5" s="17" t="s">
        <v>73</v>
      </c>
      <c r="B5" s="18">
        <v>309</v>
      </c>
      <c r="C5" s="19">
        <v>1043.3699999999999</v>
      </c>
      <c r="D5" s="19">
        <v>322401.40999999997</v>
      </c>
      <c r="E5" s="20">
        <f>D5/SUM($D$4:$D$7)</f>
        <v>0.25491074225540433</v>
      </c>
    </row>
    <row r="6" spans="1:5" ht="18" customHeight="1" x14ac:dyDescent="0.45">
      <c r="A6" s="13" t="s">
        <v>74</v>
      </c>
      <c r="B6" s="14">
        <v>286</v>
      </c>
      <c r="C6" s="15">
        <v>1065.8699999999999</v>
      </c>
      <c r="D6" s="15">
        <v>304840.02</v>
      </c>
      <c r="E6" s="16">
        <f>D6/SUM($D$4:$D$7)</f>
        <v>0.24102560769617076</v>
      </c>
    </row>
    <row r="7" spans="1:5" ht="18" customHeight="1" x14ac:dyDescent="0.45">
      <c r="A7" s="17" t="s">
        <v>75</v>
      </c>
      <c r="B7" s="18">
        <v>292</v>
      </c>
      <c r="C7" s="19">
        <v>1035.9000000000001</v>
      </c>
      <c r="D7" s="19">
        <v>302483.53999999998</v>
      </c>
      <c r="E7" s="20">
        <f>D7/SUM($D$4:$D$7)</f>
        <v>0.23916242705465302</v>
      </c>
    </row>
    <row r="8" spans="1:5" ht="19.5" customHeight="1" x14ac:dyDescent="0.45">
      <c r="A8" s="21" t="s">
        <v>25</v>
      </c>
      <c r="B8" s="22">
        <f>SUM(B4:B7)</f>
        <v>1200</v>
      </c>
      <c r="C8" s="23">
        <f>AVERAGE(C4:C7)</f>
        <v>1053.8874999999998</v>
      </c>
      <c r="D8" s="23">
        <f>SUM(D4:D7)</f>
        <v>1264761.96</v>
      </c>
      <c r="E8" s="24">
        <f>SUM(E4:E7)</f>
        <v>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zoomScaleNormal="100" workbookViewId="0">
      <pane ySplit="3" topLeftCell="A4" activePane="bottomLeft" state="frozen"/>
      <selection pane="bottomLeft" activeCell="B18" sqref="B18"/>
    </sheetView>
  </sheetViews>
  <sheetFormatPr defaultColWidth="8.6640625" defaultRowHeight="14.25" x14ac:dyDescent="0.45"/>
  <cols>
    <col min="1" max="2" width="16" customWidth="1"/>
    <col min="3" max="3" width="14" customWidth="1"/>
    <col min="4" max="5" width="16" customWidth="1"/>
  </cols>
  <sheetData>
    <row r="1" spans="1:5" ht="27.75" customHeight="1" x14ac:dyDescent="0.45">
      <c r="A1" s="5" t="s">
        <v>76</v>
      </c>
      <c r="B1" s="5"/>
      <c r="C1" s="5"/>
      <c r="D1" s="5"/>
      <c r="E1" s="5"/>
    </row>
    <row r="2" spans="1:5" ht="36" customHeight="1" x14ac:dyDescent="0.45">
      <c r="A2" s="36" t="s">
        <v>77</v>
      </c>
      <c r="B2" s="1"/>
      <c r="C2" s="1"/>
      <c r="D2" s="1"/>
      <c r="E2" s="1"/>
    </row>
    <row r="3" spans="1:5" ht="21.75" customHeight="1" x14ac:dyDescent="0.45">
      <c r="A3" s="25" t="s">
        <v>78</v>
      </c>
      <c r="B3" s="25" t="s">
        <v>13</v>
      </c>
      <c r="C3" s="25" t="s">
        <v>79</v>
      </c>
      <c r="D3" s="25" t="s">
        <v>80</v>
      </c>
      <c r="E3" s="25" t="s">
        <v>81</v>
      </c>
    </row>
    <row r="4" spans="1:5" ht="18" customHeight="1" x14ac:dyDescent="0.45">
      <c r="A4" s="39" t="s">
        <v>82</v>
      </c>
      <c r="B4" s="40" t="s">
        <v>21</v>
      </c>
      <c r="C4" s="41" t="s">
        <v>83</v>
      </c>
      <c r="D4" s="15">
        <v>3456.4</v>
      </c>
      <c r="E4" s="29" t="s">
        <v>45</v>
      </c>
    </row>
    <row r="5" spans="1:5" ht="18" customHeight="1" x14ac:dyDescent="0.45">
      <c r="A5" s="42" t="s">
        <v>84</v>
      </c>
      <c r="B5" s="43" t="s">
        <v>22</v>
      </c>
      <c r="C5" s="44" t="s">
        <v>85</v>
      </c>
      <c r="D5" s="19">
        <v>3390.95</v>
      </c>
      <c r="E5" s="30" t="s">
        <v>39</v>
      </c>
    </row>
    <row r="6" spans="1:5" ht="18" customHeight="1" x14ac:dyDescent="0.45">
      <c r="A6" s="39" t="s">
        <v>86</v>
      </c>
      <c r="B6" s="40" t="s">
        <v>20</v>
      </c>
      <c r="C6" s="41" t="s">
        <v>87</v>
      </c>
      <c r="D6" s="15">
        <v>3390.8</v>
      </c>
      <c r="E6" s="29" t="s">
        <v>45</v>
      </c>
    </row>
    <row r="7" spans="1:5" ht="18" customHeight="1" x14ac:dyDescent="0.45">
      <c r="A7" s="42" t="s">
        <v>88</v>
      </c>
      <c r="B7" s="43" t="s">
        <v>18</v>
      </c>
      <c r="C7" s="44" t="s">
        <v>89</v>
      </c>
      <c r="D7" s="19">
        <v>3384.9</v>
      </c>
      <c r="E7" s="30" t="s">
        <v>37</v>
      </c>
    </row>
    <row r="8" spans="1:5" ht="18" customHeight="1" x14ac:dyDescent="0.45">
      <c r="A8" s="39" t="s">
        <v>90</v>
      </c>
      <c r="B8" s="40" t="s">
        <v>21</v>
      </c>
      <c r="C8" s="41" t="s">
        <v>91</v>
      </c>
      <c r="D8" s="15">
        <v>3370.2</v>
      </c>
      <c r="E8" s="29" t="s">
        <v>37</v>
      </c>
    </row>
    <row r="9" spans="1:5" ht="18" customHeight="1" x14ac:dyDescent="0.45">
      <c r="A9" s="42" t="s">
        <v>92</v>
      </c>
      <c r="B9" s="43" t="s">
        <v>19</v>
      </c>
      <c r="C9" s="44" t="s">
        <v>93</v>
      </c>
      <c r="D9" s="19">
        <v>3353.75</v>
      </c>
      <c r="E9" s="30" t="s">
        <v>43</v>
      </c>
    </row>
    <row r="10" spans="1:5" ht="18" customHeight="1" x14ac:dyDescent="0.45">
      <c r="A10" s="39" t="s">
        <v>94</v>
      </c>
      <c r="B10" s="40" t="s">
        <v>20</v>
      </c>
      <c r="C10" s="41" t="s">
        <v>95</v>
      </c>
      <c r="D10" s="15">
        <v>3352.4</v>
      </c>
      <c r="E10" s="29" t="s">
        <v>39</v>
      </c>
    </row>
    <row r="11" spans="1:5" ht="18" customHeight="1" x14ac:dyDescent="0.45">
      <c r="A11" s="42" t="s">
        <v>96</v>
      </c>
      <c r="B11" s="43" t="s">
        <v>19</v>
      </c>
      <c r="C11" s="44" t="s">
        <v>97</v>
      </c>
      <c r="D11" s="19">
        <v>3334</v>
      </c>
      <c r="E11" s="30" t="s">
        <v>45</v>
      </c>
    </row>
    <row r="12" spans="1:5" ht="18" customHeight="1" x14ac:dyDescent="0.45">
      <c r="A12" s="39" t="s">
        <v>98</v>
      </c>
      <c r="B12" s="40" t="s">
        <v>24</v>
      </c>
      <c r="C12" s="41" t="s">
        <v>99</v>
      </c>
      <c r="D12" s="15">
        <v>3322.55</v>
      </c>
      <c r="E12" s="29" t="s">
        <v>41</v>
      </c>
    </row>
    <row r="13" spans="1:5" ht="18" customHeight="1" x14ac:dyDescent="0.45">
      <c r="A13" s="42" t="s">
        <v>100</v>
      </c>
      <c r="B13" s="43" t="s">
        <v>20</v>
      </c>
      <c r="C13" s="44" t="s">
        <v>101</v>
      </c>
      <c r="D13" s="19">
        <v>3313.9</v>
      </c>
      <c r="E13" s="30" t="s">
        <v>43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zoomScaleNormal="100" workbookViewId="0">
      <pane ySplit="3" topLeftCell="A9" activePane="bottomLeft" state="frozen"/>
      <selection pane="bottomLeft" activeCell="H14" sqref="H14"/>
    </sheetView>
  </sheetViews>
  <sheetFormatPr defaultColWidth="8.6640625" defaultRowHeight="14.25" x14ac:dyDescent="0.45"/>
  <cols>
    <col min="1" max="1" width="16" customWidth="1"/>
    <col min="2" max="2" width="12" customWidth="1"/>
    <col min="3" max="3" width="16" customWidth="1"/>
    <col min="4" max="4" width="36.73046875" customWidth="1"/>
  </cols>
  <sheetData>
    <row r="1" spans="1:4" ht="27.75" customHeight="1" x14ac:dyDescent="0.45">
      <c r="A1" s="5" t="s">
        <v>102</v>
      </c>
      <c r="B1" s="5"/>
      <c r="C1" s="5"/>
      <c r="D1" s="5"/>
    </row>
    <row r="2" spans="1:4" ht="36" customHeight="1" x14ac:dyDescent="0.45">
      <c r="A2" s="45" t="s">
        <v>103</v>
      </c>
      <c r="B2" s="1"/>
      <c r="C2" s="1"/>
      <c r="D2" s="1"/>
    </row>
    <row r="3" spans="1:4" ht="21.75" customHeight="1" x14ac:dyDescent="0.45">
      <c r="A3" s="25" t="s">
        <v>104</v>
      </c>
      <c r="B3" s="25" t="s">
        <v>14</v>
      </c>
      <c r="C3" s="25" t="s">
        <v>50</v>
      </c>
      <c r="D3" s="25" t="s">
        <v>105</v>
      </c>
    </row>
    <row r="4" spans="1:4" ht="15.75" customHeight="1" x14ac:dyDescent="0.45">
      <c r="A4" s="46" t="s">
        <v>106</v>
      </c>
      <c r="B4" s="14">
        <v>47</v>
      </c>
      <c r="C4" s="15">
        <v>56685.75</v>
      </c>
      <c r="D4" s="31" t="s">
        <v>107</v>
      </c>
    </row>
    <row r="5" spans="1:4" ht="15.75" customHeight="1" x14ac:dyDescent="0.45">
      <c r="A5" s="47" t="s">
        <v>108</v>
      </c>
      <c r="B5" s="18">
        <v>37</v>
      </c>
      <c r="C5" s="19">
        <v>40117.660000000003</v>
      </c>
      <c r="D5" s="20">
        <f t="shared" ref="D5:D33" si="0">(C5-C4)/C4</f>
        <v>-0.29227962936011248</v>
      </c>
    </row>
    <row r="6" spans="1:4" ht="15.75" customHeight="1" x14ac:dyDescent="0.45">
      <c r="A6" s="46" t="s">
        <v>109</v>
      </c>
      <c r="B6" s="14">
        <v>43</v>
      </c>
      <c r="C6" s="15">
        <v>48609.37</v>
      </c>
      <c r="D6" s="16">
        <f t="shared" si="0"/>
        <v>0.21167012233515112</v>
      </c>
    </row>
    <row r="7" spans="1:4" ht="15.75" customHeight="1" x14ac:dyDescent="0.45">
      <c r="A7" s="47" t="s">
        <v>110</v>
      </c>
      <c r="B7" s="18">
        <v>31</v>
      </c>
      <c r="C7" s="19">
        <v>27751.71</v>
      </c>
      <c r="D7" s="20">
        <f t="shared" si="0"/>
        <v>-0.42908723153581302</v>
      </c>
    </row>
    <row r="8" spans="1:4" ht="15.75" customHeight="1" x14ac:dyDescent="0.45">
      <c r="A8" s="46" t="s">
        <v>111</v>
      </c>
      <c r="B8" s="14">
        <v>49</v>
      </c>
      <c r="C8" s="15">
        <v>63836.84</v>
      </c>
      <c r="D8" s="16">
        <f t="shared" si="0"/>
        <v>1.3002849193797428</v>
      </c>
    </row>
    <row r="9" spans="1:4" ht="15.75" customHeight="1" x14ac:dyDescent="0.45">
      <c r="A9" s="47" t="s">
        <v>112</v>
      </c>
      <c r="B9" s="18">
        <v>45</v>
      </c>
      <c r="C9" s="19">
        <v>49500.19</v>
      </c>
      <c r="D9" s="20">
        <f t="shared" si="0"/>
        <v>-0.22458270177533843</v>
      </c>
    </row>
    <row r="10" spans="1:4" ht="15.75" customHeight="1" x14ac:dyDescent="0.45">
      <c r="A10" s="46" t="s">
        <v>113</v>
      </c>
      <c r="B10" s="14">
        <v>44</v>
      </c>
      <c r="C10" s="15">
        <v>42820.66</v>
      </c>
      <c r="D10" s="16">
        <f t="shared" si="0"/>
        <v>-0.1349394820504729</v>
      </c>
    </row>
    <row r="11" spans="1:4" ht="15.75" customHeight="1" x14ac:dyDescent="0.45">
      <c r="A11" s="47" t="s">
        <v>114</v>
      </c>
      <c r="B11" s="18">
        <v>51</v>
      </c>
      <c r="C11" s="19">
        <v>54352.14</v>
      </c>
      <c r="D11" s="20">
        <f t="shared" si="0"/>
        <v>0.26929711032011172</v>
      </c>
    </row>
    <row r="12" spans="1:4" ht="15.75" customHeight="1" x14ac:dyDescent="0.45">
      <c r="A12" s="46" t="s">
        <v>115</v>
      </c>
      <c r="B12" s="14">
        <v>29</v>
      </c>
      <c r="C12" s="15">
        <v>29526.67</v>
      </c>
      <c r="D12" s="16">
        <f t="shared" si="0"/>
        <v>-0.45675239282206737</v>
      </c>
    </row>
    <row r="13" spans="1:4" ht="15.75" customHeight="1" x14ac:dyDescent="0.45">
      <c r="A13" s="47" t="s">
        <v>116</v>
      </c>
      <c r="B13" s="18">
        <v>47</v>
      </c>
      <c r="C13" s="19">
        <v>52607.85</v>
      </c>
      <c r="D13" s="20">
        <f t="shared" si="0"/>
        <v>0.78170616598485376</v>
      </c>
    </row>
    <row r="14" spans="1:4" ht="15.75" customHeight="1" x14ac:dyDescent="0.45">
      <c r="A14" s="46" t="s">
        <v>117</v>
      </c>
      <c r="B14" s="14">
        <v>41</v>
      </c>
      <c r="C14" s="15">
        <v>43079.67</v>
      </c>
      <c r="D14" s="16">
        <f t="shared" si="0"/>
        <v>-0.18111707663400045</v>
      </c>
    </row>
    <row r="15" spans="1:4" ht="15.75" customHeight="1" x14ac:dyDescent="0.45">
      <c r="A15" s="47" t="s">
        <v>118</v>
      </c>
      <c r="B15" s="18">
        <v>46</v>
      </c>
      <c r="C15" s="19">
        <v>43754.73</v>
      </c>
      <c r="D15" s="20">
        <f t="shared" si="0"/>
        <v>1.5670036469638809E-2</v>
      </c>
    </row>
    <row r="16" spans="1:4" ht="15.75" customHeight="1" x14ac:dyDescent="0.45">
      <c r="A16" s="46" t="s">
        <v>119</v>
      </c>
      <c r="B16" s="14">
        <v>32</v>
      </c>
      <c r="C16" s="15">
        <v>38528.080000000002</v>
      </c>
      <c r="D16" s="16">
        <f t="shared" si="0"/>
        <v>-0.11945337109839327</v>
      </c>
    </row>
    <row r="17" spans="1:4" ht="15.75" customHeight="1" x14ac:dyDescent="0.45">
      <c r="A17" s="47" t="s">
        <v>120</v>
      </c>
      <c r="B17" s="18">
        <v>32</v>
      </c>
      <c r="C17" s="19">
        <v>36909.57</v>
      </c>
      <c r="D17" s="20">
        <f t="shared" si="0"/>
        <v>-4.2008581792811944E-2</v>
      </c>
    </row>
    <row r="18" spans="1:4" ht="15.75" customHeight="1" x14ac:dyDescent="0.45">
      <c r="A18" s="46" t="s">
        <v>121</v>
      </c>
      <c r="B18" s="14">
        <v>36</v>
      </c>
      <c r="C18" s="15">
        <v>36030.9</v>
      </c>
      <c r="D18" s="16">
        <f t="shared" si="0"/>
        <v>-2.3806021040071675E-2</v>
      </c>
    </row>
    <row r="19" spans="1:4" ht="15.75" customHeight="1" x14ac:dyDescent="0.45">
      <c r="A19" s="47" t="s">
        <v>122</v>
      </c>
      <c r="B19" s="18">
        <v>50</v>
      </c>
      <c r="C19" s="19">
        <v>49613.14</v>
      </c>
      <c r="D19" s="20">
        <f t="shared" si="0"/>
        <v>0.37696088635032698</v>
      </c>
    </row>
    <row r="20" spans="1:4" ht="15.75" customHeight="1" x14ac:dyDescent="0.45">
      <c r="A20" s="46" t="s">
        <v>123</v>
      </c>
      <c r="B20" s="14">
        <v>34</v>
      </c>
      <c r="C20" s="15">
        <v>27909.11</v>
      </c>
      <c r="D20" s="16">
        <f t="shared" si="0"/>
        <v>-0.43746535695986988</v>
      </c>
    </row>
    <row r="21" spans="1:4" ht="15.75" customHeight="1" x14ac:dyDescent="0.45">
      <c r="A21" s="47" t="s">
        <v>124</v>
      </c>
      <c r="B21" s="18">
        <v>53</v>
      </c>
      <c r="C21" s="19">
        <v>68068.539999999994</v>
      </c>
      <c r="D21" s="20">
        <f t="shared" si="0"/>
        <v>1.43893624698172</v>
      </c>
    </row>
    <row r="22" spans="1:4" ht="15.75" customHeight="1" x14ac:dyDescent="0.45">
      <c r="A22" s="46" t="s">
        <v>125</v>
      </c>
      <c r="B22" s="14">
        <v>43</v>
      </c>
      <c r="C22" s="15">
        <v>42963.98</v>
      </c>
      <c r="D22" s="16">
        <f t="shared" si="0"/>
        <v>-0.36881296410941078</v>
      </c>
    </row>
    <row r="23" spans="1:4" ht="15.75" customHeight="1" x14ac:dyDescent="0.45">
      <c r="A23" s="47" t="s">
        <v>126</v>
      </c>
      <c r="B23" s="18">
        <v>28</v>
      </c>
      <c r="C23" s="19">
        <v>31991.07</v>
      </c>
      <c r="D23" s="20">
        <f t="shared" si="0"/>
        <v>-0.25539789377054928</v>
      </c>
    </row>
    <row r="24" spans="1:4" ht="15.75" customHeight="1" x14ac:dyDescent="0.45">
      <c r="A24" s="46" t="s">
        <v>127</v>
      </c>
      <c r="B24" s="14">
        <v>44</v>
      </c>
      <c r="C24" s="15">
        <v>39794.980000000003</v>
      </c>
      <c r="D24" s="16">
        <f t="shared" si="0"/>
        <v>0.24394026207938663</v>
      </c>
    </row>
    <row r="25" spans="1:4" ht="15.75" customHeight="1" x14ac:dyDescent="0.45">
      <c r="A25" s="47" t="s">
        <v>128</v>
      </c>
      <c r="B25" s="18">
        <v>31</v>
      </c>
      <c r="C25" s="19">
        <v>37226.97</v>
      </c>
      <c r="D25" s="20">
        <f t="shared" si="0"/>
        <v>-6.4531003659255556E-2</v>
      </c>
    </row>
    <row r="26" spans="1:4" ht="15.75" customHeight="1" x14ac:dyDescent="0.45">
      <c r="A26" s="46" t="s">
        <v>129</v>
      </c>
      <c r="B26" s="14">
        <v>35</v>
      </c>
      <c r="C26" s="15">
        <v>32413.759999999998</v>
      </c>
      <c r="D26" s="16">
        <f t="shared" si="0"/>
        <v>-0.12929362771130723</v>
      </c>
    </row>
    <row r="27" spans="1:4" ht="15.75" customHeight="1" x14ac:dyDescent="0.45">
      <c r="A27" s="47" t="s">
        <v>130</v>
      </c>
      <c r="B27" s="18">
        <v>41</v>
      </c>
      <c r="C27" s="19">
        <v>38785.769999999997</v>
      </c>
      <c r="D27" s="20">
        <f t="shared" si="0"/>
        <v>0.19658348800015793</v>
      </c>
    </row>
    <row r="28" spans="1:4" ht="15.75" customHeight="1" x14ac:dyDescent="0.45">
      <c r="A28" s="46" t="s">
        <v>131</v>
      </c>
      <c r="B28" s="14">
        <v>27</v>
      </c>
      <c r="C28" s="15">
        <v>29099.4</v>
      </c>
      <c r="D28" s="16">
        <f t="shared" si="0"/>
        <v>-0.24974030424044685</v>
      </c>
    </row>
    <row r="29" spans="1:4" ht="15.75" customHeight="1" x14ac:dyDescent="0.45">
      <c r="A29" s="47" t="s">
        <v>132</v>
      </c>
      <c r="B29" s="18">
        <v>37</v>
      </c>
      <c r="C29" s="19">
        <v>35317.550000000003</v>
      </c>
      <c r="D29" s="20">
        <f t="shared" si="0"/>
        <v>0.21368653649216138</v>
      </c>
    </row>
    <row r="30" spans="1:4" ht="15.75" customHeight="1" x14ac:dyDescent="0.45">
      <c r="A30" s="46" t="s">
        <v>133</v>
      </c>
      <c r="B30" s="14">
        <v>49</v>
      </c>
      <c r="C30" s="15">
        <v>39200.660000000003</v>
      </c>
      <c r="D30" s="16">
        <f t="shared" si="0"/>
        <v>0.10994845338932062</v>
      </c>
    </row>
    <row r="31" spans="1:4" ht="15.75" customHeight="1" x14ac:dyDescent="0.45">
      <c r="A31" s="47" t="s">
        <v>134</v>
      </c>
      <c r="B31" s="18">
        <v>32</v>
      </c>
      <c r="C31" s="19">
        <v>31821.200000000001</v>
      </c>
      <c r="D31" s="20">
        <f t="shared" si="0"/>
        <v>-0.18824836112453214</v>
      </c>
    </row>
    <row r="32" spans="1:4" ht="15.75" customHeight="1" x14ac:dyDescent="0.45">
      <c r="A32" s="46" t="s">
        <v>135</v>
      </c>
      <c r="B32" s="14">
        <v>37</v>
      </c>
      <c r="C32" s="15">
        <v>43396.639999999999</v>
      </c>
      <c r="D32" s="16">
        <f t="shared" si="0"/>
        <v>0.36376503714504793</v>
      </c>
    </row>
    <row r="33" spans="1:4" ht="15.75" customHeight="1" x14ac:dyDescent="0.45">
      <c r="A33" s="47" t="s">
        <v>136</v>
      </c>
      <c r="B33" s="18">
        <v>49</v>
      </c>
      <c r="C33" s="19">
        <v>53047.4</v>
      </c>
      <c r="D33" s="20">
        <f t="shared" si="0"/>
        <v>0.22238495883552281</v>
      </c>
    </row>
    <row r="34" spans="1:4" ht="19.5" customHeight="1" x14ac:dyDescent="0.45">
      <c r="A34" s="21" t="s">
        <v>25</v>
      </c>
      <c r="B34" s="22">
        <f>SUM(B4:B33)</f>
        <v>1200</v>
      </c>
      <c r="C34" s="23">
        <f>SUM(C4:C33)</f>
        <v>1264761.9599999995</v>
      </c>
      <c r="D34" s="24">
        <f>AVERAGE(D5:D33)</f>
        <v>7.4045456002713422E-2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Revenue by Product</vt:lpstr>
      <vt:lpstr>Order Status</vt:lpstr>
      <vt:lpstr>Payment Method</vt:lpstr>
      <vt:lpstr>Referral Source</vt:lpstr>
      <vt:lpstr>Coupon Impact</vt:lpstr>
      <vt:lpstr>Top 10 Orders</vt:lpstr>
      <vt:lpstr>Monthly Trend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2026-06-06T07:34:00Z</dcterms:created>
  <dcterms:modified xsi:type="dcterms:W3CDTF">2026-06-06T07:49:33Z</dcterms:modified>
  <dc:language>en-US</dc:language>
</cp:coreProperties>
</file>